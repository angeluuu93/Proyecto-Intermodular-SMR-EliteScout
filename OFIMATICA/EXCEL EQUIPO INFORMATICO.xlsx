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esktop\trabajo intermodular\"/>
    </mc:Choice>
  </mc:AlternateContent>
  <xr:revisionPtr revIDLastSave="0" documentId="13_ncr:1_{79D7CB5B-4CB6-45B2-AEA6-8A44AAED87A2}" xr6:coauthVersionLast="47" xr6:coauthVersionMax="47" xr10:uidLastSave="{00000000-0000-0000-0000-000000000000}"/>
  <bookViews>
    <workbookView xWindow="-120" yWindow="-120" windowWidth="29040" windowHeight="15720" xr2:uid="{E99945AC-C37A-447D-98BB-F43811B171AD}"/>
  </bookViews>
  <sheets>
    <sheet name="inventario" sheetId="1" r:id="rId1"/>
    <sheet name="registro incidenc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<sst xmlns="http://schemas.openxmlformats.org/spreadsheetml/2006/main" count="92" uniqueCount="73">
  <si>
    <t>id_equipos</t>
  </si>
  <si>
    <t>sistema operativo</t>
  </si>
  <si>
    <t>usuario</t>
  </si>
  <si>
    <t>ubicación</t>
  </si>
  <si>
    <t>observaciones</t>
  </si>
  <si>
    <t>pc_01</t>
  </si>
  <si>
    <t>pc_02</t>
  </si>
  <si>
    <t>pc_03</t>
  </si>
  <si>
    <t>lap_01</t>
  </si>
  <si>
    <t>pc_4</t>
  </si>
  <si>
    <t>tv_01</t>
  </si>
  <si>
    <t>analista_01</t>
  </si>
  <si>
    <t>analista_02</t>
  </si>
  <si>
    <t>analista_03</t>
  </si>
  <si>
    <t>director</t>
  </si>
  <si>
    <t>administrativo</t>
  </si>
  <si>
    <t>imp_1</t>
  </si>
  <si>
    <t>todos</t>
  </si>
  <si>
    <t>sala de video</t>
  </si>
  <si>
    <t>despacho/movil</t>
  </si>
  <si>
    <t>recepcion</t>
  </si>
  <si>
    <t>windows 11 pro</t>
  </si>
  <si>
    <t>smart TV OS</t>
  </si>
  <si>
    <t>NAS OS</t>
  </si>
  <si>
    <t>sofward principal</t>
  </si>
  <si>
    <t>Nacsport / Office</t>
  </si>
  <si>
    <t>office/Gestión</t>
  </si>
  <si>
    <t>office/contabilidad</t>
  </si>
  <si>
    <t>app de analisis</t>
  </si>
  <si>
    <t xml:space="preserve">Equipo de alto rendimiento para edición de vídeo 4K. </t>
  </si>
  <si>
    <t>Impresora multifunción compartida por red.</t>
  </si>
  <si>
    <t>Pantalla 4K para sesiones de scouting grupa</t>
  </si>
  <si>
    <t>Equipo destinado a tareas de gestión y facturación.</t>
  </si>
  <si>
    <t>Portátil con VPN para acceso remoto a informes.</t>
  </si>
  <si>
    <t>precio estimado(€)</t>
  </si>
  <si>
    <t>drivers de red</t>
  </si>
  <si>
    <t xml:space="preserve">inversion total en tecnologia </t>
  </si>
  <si>
    <t>id_incidencias</t>
  </si>
  <si>
    <t>id_equipo</t>
  </si>
  <si>
    <t>Estado</t>
  </si>
  <si>
    <t>Accion realizada</t>
  </si>
  <si>
    <t>Descripcion problema</t>
  </si>
  <si>
    <t>Fecha</t>
  </si>
  <si>
    <t>INC-001</t>
  </si>
  <si>
    <t>Resuelto</t>
  </si>
  <si>
    <t>El equipo se apaga solo tras 10 minutos de edición de vídeo.</t>
  </si>
  <si>
    <t>Limpieza de ventiladores y sustitución de pasta térmica en la CPU.</t>
  </si>
  <si>
    <t>INC-002</t>
  </si>
  <si>
    <t>El portátil no detecta la red Wi-Fi de la oficina.</t>
  </si>
  <si>
    <t>Reinstalación de drivers de red y reinicio del punto de acceso.</t>
  </si>
  <si>
    <t>INC-004</t>
  </si>
  <si>
    <t>Error al intentar imprimir facturas desde el equipo de administración.</t>
  </si>
  <si>
    <t>Configuración de la IP de la impresora en el panel de control.</t>
  </si>
  <si>
    <t>INC-005</t>
  </si>
  <si>
    <t>La pantalla muestra "Sin señal" al intentar proyectar desde un PC.</t>
  </si>
  <si>
    <t>Sustitución del cable HDMI dañado por uno nuevo de categoría 2.1.</t>
  </si>
  <si>
    <t>PC_01</t>
  </si>
  <si>
    <t>LAP_01</t>
  </si>
  <si>
    <t>PC_04</t>
  </si>
  <si>
    <t>TV_01</t>
  </si>
  <si>
    <t>pendiente</t>
  </si>
  <si>
    <t>SRV-NAS-01</t>
  </si>
  <si>
    <t>Sala Técnica</t>
  </si>
  <si>
    <t>Synology DSM 7.2</t>
  </si>
  <si>
    <t xml:space="preserve">SMB/CIFS, </t>
  </si>
  <si>
    <t>Gestor RAID 1, Cloud Sync</t>
  </si>
  <si>
    <t>Copia de seguridad redundante (Mirroring)</t>
  </si>
  <si>
    <t>SRV-NAS-05</t>
  </si>
  <si>
    <t>Licencias oficiales</t>
  </si>
  <si>
    <t>SMB/CIFS</t>
  </si>
  <si>
    <t xml:space="preserve">sala Técnica </t>
  </si>
  <si>
    <t>pc</t>
  </si>
  <si>
    <t>El pack de Windows 11 Pro y la suscripción anual de software de scouting (Nacsport/Longomatch).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</si>
</sst>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#,##0.00\ &quot;€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6" fontId="0" fillId="0" borderId="0" xfId="0" applyNumberFormat="1" applyFont="1"/>
    <xf numFmtId="164" fontId="0" fillId="0" borderId="0" xfId="0" applyNumberFormat="1" applyFont="1"/>
    <xf numFmtId="49" fontId="0" fillId="0" borderId="0" xfId="0" applyNumberFormat="1" applyFont="1"/>
    <xf numFmtId="0" fontId="1" fillId="0" borderId="2" xfId="0" applyFont="1" applyBorder="1"/>
    <xf numFmtId="6" fontId="0" fillId="0" borderId="0" xfId="0" applyNumberFormat="1"/>
    <xf numFmtId="6" fontId="1" fillId="0" borderId="1" xfId="0" applyNumberFormat="1" applyFont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0" formatCode="#,##0\ &quot;€&quot;;[Red]\-#,##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0" formatCode="#,##0\ &quot;€&quot;;[Red]\-#,##0\ &quot;€&quot;"/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d/mm/yyyy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6DD81E-E2A9-4BF7-B913-73E0689DF885}" name="Tabla1" displayName="Tabla1" ref="A1:G13" totalsRowCount="1" headerRowDxfId="14">
  <autoFilter ref="A1:G12" xr:uid="{4C6DD81E-E2A9-4BF7-B913-73E0689DF885}"/>
  <tableColumns count="7">
    <tableColumn id="1" xr3:uid="{BAE629AE-FFED-4F5D-A26F-200AF318B6FB}" name="id_equipos" totalsRowDxfId="0"/>
    <tableColumn id="2" xr3:uid="{242066F2-F685-4D54-98B4-68E9F9309A7C}" name="usuario"/>
    <tableColumn id="3" xr3:uid="{7C8A574E-E35F-4662-B48A-824B5AACE025}" name="ubicación"/>
    <tableColumn id="4" xr3:uid="{CC7B30BC-3911-4DCF-A56A-A77FA96D02E2}" name="sofward principal"/>
    <tableColumn id="5" xr3:uid="{57BF42EB-3401-4C10-B64B-9830ED3D7D53}" name="sistema operativo"/>
    <tableColumn id="6" xr3:uid="{2700A4F0-D74B-4056-BDA1-FC007BD1E287}" name="precio estimado(€)" dataDxfId="3"/>
    <tableColumn id="7" xr3:uid="{ADBAA68C-311C-4030-BB2E-370BEF620F6A}" name="observaciones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616294-2802-4F9D-9568-97506E1C5C23}" name="Tabla2" displayName="Tabla2" ref="A1:F5" totalsRowShown="0" headerRowDxfId="12" dataDxfId="11" tableBorderDxfId="10">
  <autoFilter ref="A1:F5" xr:uid="{4C616294-2802-4F9D-9568-97506E1C5C23}"/>
  <tableColumns count="6">
    <tableColumn id="1" xr3:uid="{2CDEBDEF-0D0F-42E2-84FB-0D58CB5040E1}" name="id_incidencias" dataDxfId="9"/>
    <tableColumn id="2" xr3:uid="{A138DC23-51ED-4DF4-96AA-72D30FA1FE92}" name="Fecha" dataDxfId="8"/>
    <tableColumn id="3" xr3:uid="{4B4A4DBC-D582-43EC-9120-621005E9562B}" name="id_equipo" dataDxfId="7"/>
    <tableColumn id="4" xr3:uid="{11D64B23-2499-44D0-ACA2-F2AFFE819A38}" name="Descripcion problema" dataDxfId="6"/>
    <tableColumn id="5" xr3:uid="{E74A1FFF-ACC6-443C-A83C-A602E311DDCD}" name="Accion realizada" dataDxfId="5"/>
    <tableColumn id="6" xr3:uid="{244C1999-83DF-4E37-805A-0445D49E229B}" name="Estado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A4FA-D5EE-4DC0-90F9-477ABC67BDA9}">
  <dimension ref="A1:G13"/>
  <sheetViews>
    <sheetView tabSelected="1" workbookViewId="0">
      <selection activeCell="G16" sqref="G16"/>
    </sheetView>
  </sheetViews>
  <sheetFormatPr baseColWidth="10" defaultRowHeight="15" x14ac:dyDescent="0.25"/>
  <cols>
    <col min="1" max="1" width="20.140625" bestFit="1" customWidth="1"/>
    <col min="2" max="2" width="13.85546875" bestFit="1" customWidth="1"/>
    <col min="3" max="3" width="14.85546875" customWidth="1"/>
    <col min="4" max="4" width="18.5703125" customWidth="1"/>
    <col min="5" max="5" width="19.28515625" customWidth="1"/>
    <col min="6" max="6" width="18.140625" customWidth="1"/>
    <col min="7" max="7" width="89.5703125" bestFit="1" customWidth="1"/>
  </cols>
  <sheetData>
    <row r="1" spans="1:7" x14ac:dyDescent="0.25">
      <c r="A1" s="1" t="s">
        <v>0</v>
      </c>
      <c r="B1" s="1" t="s">
        <v>2</v>
      </c>
      <c r="C1" s="1" t="s">
        <v>3</v>
      </c>
      <c r="D1" s="1" t="s">
        <v>24</v>
      </c>
      <c r="E1" s="1" t="s">
        <v>1</v>
      </c>
      <c r="F1" s="3" t="s">
        <v>34</v>
      </c>
      <c r="G1" s="1" t="s">
        <v>4</v>
      </c>
    </row>
    <row r="2" spans="1:7" x14ac:dyDescent="0.25">
      <c r="A2" t="s">
        <v>5</v>
      </c>
      <c r="B2" t="s">
        <v>11</v>
      </c>
      <c r="C2" t="s">
        <v>18</v>
      </c>
      <c r="D2" t="s">
        <v>25</v>
      </c>
      <c r="E2" t="s">
        <v>21</v>
      </c>
      <c r="F2" s="2">
        <v>1850</v>
      </c>
      <c r="G2" t="s">
        <v>29</v>
      </c>
    </row>
    <row r="3" spans="1:7" x14ac:dyDescent="0.25">
      <c r="A3" t="s">
        <v>6</v>
      </c>
      <c r="B3" t="s">
        <v>12</v>
      </c>
      <c r="C3" t="s">
        <v>18</v>
      </c>
      <c r="D3" t="s">
        <v>25</v>
      </c>
      <c r="E3" t="s">
        <v>21</v>
      </c>
      <c r="F3" s="2">
        <v>1850</v>
      </c>
      <c r="G3" t="s">
        <v>29</v>
      </c>
    </row>
    <row r="4" spans="1:7" x14ac:dyDescent="0.25">
      <c r="A4" t="s">
        <v>7</v>
      </c>
      <c r="B4" t="s">
        <v>13</v>
      </c>
      <c r="C4" t="s">
        <v>18</v>
      </c>
      <c r="D4" t="s">
        <v>25</v>
      </c>
      <c r="E4" t="s">
        <v>21</v>
      </c>
      <c r="F4" s="2">
        <v>1850</v>
      </c>
      <c r="G4" t="s">
        <v>29</v>
      </c>
    </row>
    <row r="5" spans="1:7" x14ac:dyDescent="0.25">
      <c r="A5" t="s">
        <v>8</v>
      </c>
      <c r="B5" t="s">
        <v>14</v>
      </c>
      <c r="C5" t="s">
        <v>19</v>
      </c>
      <c r="D5" t="s">
        <v>26</v>
      </c>
      <c r="E5" t="s">
        <v>21</v>
      </c>
      <c r="F5" s="2">
        <v>1700</v>
      </c>
      <c r="G5" t="s">
        <v>33</v>
      </c>
    </row>
    <row r="6" spans="1:7" x14ac:dyDescent="0.25">
      <c r="A6" t="s">
        <v>9</v>
      </c>
      <c r="B6" t="s">
        <v>15</v>
      </c>
      <c r="C6" t="s">
        <v>20</v>
      </c>
      <c r="D6" t="s">
        <v>27</v>
      </c>
      <c r="E6" t="s">
        <v>21</v>
      </c>
      <c r="F6" s="2">
        <v>1200</v>
      </c>
      <c r="G6" t="s">
        <v>32</v>
      </c>
    </row>
    <row r="7" spans="1:7" x14ac:dyDescent="0.25">
      <c r="A7" t="s">
        <v>10</v>
      </c>
      <c r="B7" t="s">
        <v>17</v>
      </c>
      <c r="C7" t="s">
        <v>18</v>
      </c>
      <c r="D7" t="s">
        <v>28</v>
      </c>
      <c r="E7" t="s">
        <v>22</v>
      </c>
      <c r="F7" s="2">
        <v>650</v>
      </c>
      <c r="G7" t="s">
        <v>31</v>
      </c>
    </row>
    <row r="8" spans="1:7" x14ac:dyDescent="0.25">
      <c r="A8" t="s">
        <v>16</v>
      </c>
      <c r="B8" t="s">
        <v>17</v>
      </c>
      <c r="C8" t="s">
        <v>18</v>
      </c>
      <c r="D8" t="s">
        <v>35</v>
      </c>
      <c r="E8" t="s">
        <v>23</v>
      </c>
      <c r="F8" s="2">
        <v>300</v>
      </c>
      <c r="G8" t="s">
        <v>30</v>
      </c>
    </row>
    <row r="9" spans="1:7" x14ac:dyDescent="0.25">
      <c r="A9" t="s">
        <v>61</v>
      </c>
      <c r="B9" t="s">
        <v>17</v>
      </c>
      <c r="C9" t="s">
        <v>62</v>
      </c>
      <c r="D9" t="s">
        <v>64</v>
      </c>
      <c r="E9" t="s">
        <v>63</v>
      </c>
      <c r="F9" s="6">
        <v>245</v>
      </c>
      <c r="G9" s="1" t="s">
        <v>65</v>
      </c>
    </row>
    <row r="10" spans="1:7" ht="15.75" customHeight="1" x14ac:dyDescent="0.25">
      <c r="A10" t="s">
        <v>61</v>
      </c>
      <c r="B10" t="s">
        <v>17</v>
      </c>
      <c r="C10" t="s">
        <v>70</v>
      </c>
      <c r="D10" t="s">
        <v>69</v>
      </c>
      <c r="E10" t="s">
        <v>67</v>
      </c>
      <c r="F10" s="6">
        <v>245</v>
      </c>
      <c r="G10" t="s">
        <v>66</v>
      </c>
    </row>
    <row r="11" spans="1:7" ht="15.75" thickBot="1" x14ac:dyDescent="0.3">
      <c r="A11" t="s">
        <v>68</v>
      </c>
      <c r="B11" t="s">
        <v>17</v>
      </c>
      <c r="C11" t="s">
        <v>71</v>
      </c>
      <c r="F11" s="2">
        <v>500</v>
      </c>
      <c r="G11" s="1" t="s">
        <v>72</v>
      </c>
    </row>
    <row r="12" spans="1:7" ht="15.75" thickTop="1" x14ac:dyDescent="0.25">
      <c r="F12" s="7">
        <f ca="1">SUM(F2:F13)</f>
        <v>10390</v>
      </c>
      <c r="G12" s="5" t="s">
        <v>36</v>
      </c>
    </row>
    <row r="13" spans="1:7" x14ac:dyDescent="0.25">
      <c r="A13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81D6-220D-45E1-97E8-4050934293AB}">
  <dimension ref="A1:G9"/>
  <sheetViews>
    <sheetView workbookViewId="0">
      <selection activeCell="G17" sqref="G17"/>
    </sheetView>
  </sheetViews>
  <sheetFormatPr baseColWidth="10" defaultRowHeight="15" x14ac:dyDescent="0.25"/>
  <cols>
    <col min="1" max="1" width="12.28515625" customWidth="1"/>
    <col min="2" max="2" width="12.5703125" bestFit="1" customWidth="1"/>
    <col min="3" max="3" width="12.28515625" customWidth="1"/>
    <col min="4" max="4" width="63.42578125" bestFit="1" customWidth="1"/>
    <col min="5" max="5" width="60.85546875" bestFit="1" customWidth="1"/>
    <col min="6" max="6" width="12.28515625" customWidth="1"/>
  </cols>
  <sheetData>
    <row r="1" spans="1:7" x14ac:dyDescent="0.25">
      <c r="A1" s="1" t="s">
        <v>37</v>
      </c>
      <c r="B1" s="1" t="s">
        <v>42</v>
      </c>
      <c r="C1" s="1" t="s">
        <v>38</v>
      </c>
      <c r="D1" s="4" t="s">
        <v>41</v>
      </c>
      <c r="E1" s="1" t="s">
        <v>40</v>
      </c>
      <c r="F1" s="3" t="s">
        <v>39</v>
      </c>
      <c r="G1" s="1"/>
    </row>
    <row r="2" spans="1:7" x14ac:dyDescent="0.25">
      <c r="A2" t="s">
        <v>43</v>
      </c>
      <c r="B2">
        <v>46137</v>
      </c>
      <c r="C2" t="s">
        <v>56</v>
      </c>
      <c r="D2" t="s">
        <v>45</v>
      </c>
      <c r="E2" t="s">
        <v>46</v>
      </c>
      <c r="F2" s="2" t="s">
        <v>44</v>
      </c>
    </row>
    <row r="3" spans="1:7" x14ac:dyDescent="0.25">
      <c r="A3" t="s">
        <v>47</v>
      </c>
      <c r="B3">
        <v>46138</v>
      </c>
      <c r="C3" t="s">
        <v>57</v>
      </c>
      <c r="D3" t="s">
        <v>48</v>
      </c>
      <c r="E3" t="s">
        <v>49</v>
      </c>
      <c r="F3" s="2" t="s">
        <v>44</v>
      </c>
    </row>
    <row r="4" spans="1:7" x14ac:dyDescent="0.25">
      <c r="A4" t="s">
        <v>50</v>
      </c>
      <c r="B4">
        <v>46140</v>
      </c>
      <c r="C4" t="s">
        <v>58</v>
      </c>
      <c r="D4" t="s">
        <v>51</v>
      </c>
      <c r="E4" t="s">
        <v>52</v>
      </c>
      <c r="F4" s="2" t="s">
        <v>60</v>
      </c>
    </row>
    <row r="5" spans="1:7" x14ac:dyDescent="0.25">
      <c r="A5" t="s">
        <v>53</v>
      </c>
      <c r="B5">
        <v>46141</v>
      </c>
      <c r="C5" t="s">
        <v>59</v>
      </c>
      <c r="D5" t="s">
        <v>54</v>
      </c>
      <c r="E5" t="s">
        <v>55</v>
      </c>
      <c r="F5" s="2" t="s">
        <v>44</v>
      </c>
    </row>
    <row r="6" spans="1:7" x14ac:dyDescent="0.25">
      <c r="F6" s="2"/>
    </row>
    <row r="7" spans="1:7" x14ac:dyDescent="0.25">
      <c r="F7" s="2"/>
    </row>
    <row r="9" spans="1:7" x14ac:dyDescent="0.25">
      <c r="G9" s="1"/>
    </row>
  </sheetData>
  <conditionalFormatting sqref="F1:F42">
    <cfRule type="containsText" dxfId="2" priority="1" operator="containsText" text="pendiente">
      <formula>NOT(ISERROR(SEARCH("pendiente",F1)))</formula>
    </cfRule>
    <cfRule type="containsText" dxfId="1" priority="2" operator="containsText" text="resuelto">
      <formula>NOT(ISERROR(SEARCH("resuelto",F1)))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FCAA4E-2559-4E43-9DCB-0BA0C1F214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registro incidencias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asdada sdadasdada</dc:creator>
  <cp:lastModifiedBy>asdada sdadasdada</cp:lastModifiedBy>
  <dcterms:created xsi:type="dcterms:W3CDTF">2026-04-24T10:58:48Z</dcterms:created>
  <dcterms:modified xsi:type="dcterms:W3CDTF">2026-05-03T14:35:57Z</dcterms:modified>
</cp:coreProperties>
</file>